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1B_internship\December\Week_5\"/>
    </mc:Choice>
  </mc:AlternateContent>
  <xr:revisionPtr revIDLastSave="0" documentId="13_ncr:1_{F79F8F9F-403E-46AD-825B-56FAD4AD0109}" xr6:coauthVersionLast="47" xr6:coauthVersionMax="47" xr10:uidLastSave="{00000000-0000-0000-0000-000000000000}"/>
  <bookViews>
    <workbookView xWindow="-120" yWindow="-120" windowWidth="20730" windowHeight="11160" activeTab="3" xr2:uid="{9F5CAFFD-3A94-4623-822C-B02E5A1BD81B}"/>
  </bookViews>
  <sheets>
    <sheet name="Trip Inputs" sheetId="1" r:id="rId1"/>
    <sheet name="Emission Factors" sheetId="2" r:id="rId2"/>
    <sheet name="Calculations" sheetId="3" r:id="rId3"/>
    <sheet name="Dashboard" sheetId="4" r:id="rId4"/>
  </sheets>
  <definedNames>
    <definedName name="_xlchart.v1.0" hidden="1">Calculations!$A$2:$A$5</definedName>
    <definedName name="_xlchart.v1.1" hidden="1">Calculations!$B$2:$B$5</definedName>
    <definedName name="_xlchart.v2.2" hidden="1">'Emission Factors'!$A$13:$A$15</definedName>
    <definedName name="_xlchart.v2.3" hidden="1">'Emission Factors'!$B$12</definedName>
    <definedName name="_xlchart.v2.4" hidden="1">'Emission Factors'!$B$13:$B$15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4" l="1"/>
  <c r="C64" i="4"/>
  <c r="C63" i="4"/>
  <c r="K64" i="4"/>
  <c r="N64" i="4"/>
  <c r="B5" i="3"/>
  <c r="B4" i="3"/>
  <c r="B3" i="3"/>
  <c r="B2" i="3"/>
</calcChain>
</file>

<file path=xl/sharedStrings.xml><?xml version="1.0" encoding="utf-8"?>
<sst xmlns="http://schemas.openxmlformats.org/spreadsheetml/2006/main" count="43" uniqueCount="40">
  <si>
    <t>CO2 per km</t>
  </si>
  <si>
    <t>Car</t>
  </si>
  <si>
    <t>Flight</t>
  </si>
  <si>
    <t>Bus</t>
  </si>
  <si>
    <t>Train</t>
  </si>
  <si>
    <t>Luxury</t>
  </si>
  <si>
    <t>Budget</t>
  </si>
  <si>
    <t>Eco</t>
  </si>
  <si>
    <t>Activity</t>
  </si>
  <si>
    <t>Adventure</t>
  </si>
  <si>
    <t>Local Transport Tour</t>
  </si>
  <si>
    <t>Sightseeing</t>
  </si>
  <si>
    <t>Transport Mode</t>
  </si>
  <si>
    <t>Hotel</t>
  </si>
  <si>
    <t xml:space="preserve">Parameter </t>
  </si>
  <si>
    <t>Value</t>
  </si>
  <si>
    <t>Distance (km)</t>
  </si>
  <si>
    <t>Hotel Nights</t>
  </si>
  <si>
    <t>Hotel Type</t>
  </si>
  <si>
    <t>Number of Activities</t>
  </si>
  <si>
    <t>Number of Tourists</t>
  </si>
  <si>
    <t>Category</t>
  </si>
  <si>
    <t>Transport</t>
  </si>
  <si>
    <t>Accommodation</t>
  </si>
  <si>
    <t>Activities</t>
  </si>
  <si>
    <t>Total Emissions</t>
  </si>
  <si>
    <t>Scenario</t>
  </si>
  <si>
    <t>Traditional Trip</t>
  </si>
  <si>
    <t>Low-Carbon Trip</t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</si>
  <si>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 per night</t>
    </r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</si>
  <si>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per activity</t>
    </r>
  </si>
  <si>
    <r>
      <t>Emissions (kg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</si>
  <si>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Total CO</t>
    </r>
    <r>
      <rPr>
        <b/>
        <vertAlign val="subscript"/>
        <sz val="14"/>
        <color theme="1"/>
        <rFont val="Aptos Narrow"/>
        <family val="2"/>
        <scheme val="minor"/>
      </rPr>
      <t>2</t>
    </r>
    <r>
      <rPr>
        <b/>
        <sz val="14"/>
        <color theme="1"/>
        <rFont val="Aptos Narrow"/>
        <family val="2"/>
        <scheme val="minor"/>
      </rPr>
      <t xml:space="preserve"> Emissions (kg)</t>
    </r>
  </si>
  <si>
    <r>
      <t>Total CO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 xml:space="preserve"> (kg)</t>
    </r>
  </si>
  <si>
    <t>Tourist Carbon Footprint Dashboard</t>
  </si>
  <si>
    <t>Automatic Recommendations</t>
  </si>
  <si>
    <t>Transport Recommendation:</t>
  </si>
  <si>
    <t>Accommodation Recommendation:</t>
  </si>
  <si>
    <t>Activity Recommendation:</t>
  </si>
  <si>
    <t>Note :- Enter your travel details in the Trip Inputs section. The dashboard will automatically suggest low-carbon travel, stay, and activity options based on your choices. Change any input to instantly see updated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</si>
</sst>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Transport Emissions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'Emission Factors'!$A$2:$A$5</c:f>
              <c:strCache>
                <c:ptCount val="4"/>
                <c:pt idx="0">
                  <c:v>Car</c:v>
                </c:pt>
                <c:pt idx="1">
                  <c:v>Flight</c:v>
                </c:pt>
                <c:pt idx="2">
                  <c:v>Bus</c:v>
                </c:pt>
                <c:pt idx="3">
                  <c:v>Train</c:v>
                </c:pt>
              </c:strCache>
            </c:strRef>
          </c:cat>
          <c:val>
            <c:numRef>
              <c:f>'Emission Factors'!$B$2:$B$5</c:f>
              <c:numCache>
                <c:formatCode>General</c:formatCode>
                <c:ptCount val="4"/>
                <c:pt idx="0">
                  <c:v>0.15</c:v>
                </c:pt>
                <c:pt idx="1">
                  <c:v>0.18</c:v>
                </c:pt>
                <c:pt idx="2">
                  <c:v>0.05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E-4F08-99DE-32C9D2CB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10624"/>
        <c:axId val="443011104"/>
      </c:barChart>
      <c:catAx>
        <c:axId val="4430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11104"/>
        <c:crosses val="autoZero"/>
        <c:auto val="1"/>
        <c:lblAlgn val="ctr"/>
        <c:lblOffset val="100"/>
        <c:noMultiLvlLbl val="0"/>
      </c:catAx>
      <c:valAx>
        <c:axId val="4430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1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CO2 Emission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EE-4948-9A03-C0348B476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EE-4948-9A03-C0348B476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EE-4948-9A03-C0348B476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EE-4948-9A03-C0348B4760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Calculations!$A$2:$A$5</c:f>
              <c:strCache>
                <c:ptCount val="4"/>
                <c:pt idx="0">
                  <c:v>Transport</c:v>
                </c:pt>
                <c:pt idx="1">
                  <c:v>Accommodation</c:v>
                </c:pt>
                <c:pt idx="2">
                  <c:v>Activities</c:v>
                </c:pt>
                <c:pt idx="3">
                  <c:v>Total Emissions</c:v>
                </c:pt>
              </c:strCache>
            </c:strRef>
          </c:cat>
          <c:val>
            <c:numRef>
              <c:f>Calculations!$B$2:$B$5</c:f>
              <c:numCache>
                <c:formatCode>General</c:formatCode>
                <c:ptCount val="4"/>
                <c:pt idx="0">
                  <c:v>180</c:v>
                </c:pt>
                <c:pt idx="1">
                  <c:v>120</c:v>
                </c:pt>
                <c:pt idx="2">
                  <c:v>18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EE-4948-9A03-C0348B47608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Hotel CO2 Emissions per 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'Emission Factors'!$A$8:$A$10</c:f>
              <c:strCache>
                <c:ptCount val="3"/>
                <c:pt idx="0">
                  <c:v>Luxury</c:v>
                </c:pt>
                <c:pt idx="1">
                  <c:v>Budget</c:v>
                </c:pt>
                <c:pt idx="2">
                  <c:v>Eco</c:v>
                </c:pt>
              </c:strCache>
            </c:strRef>
          </c:cat>
          <c:val>
            <c:numRef>
              <c:f>'Emission Factors'!$B$8:$B$10</c:f>
              <c:numCache>
                <c:formatCode>General</c:formatCode>
                <c:ptCount val="3"/>
                <c:pt idx="0">
                  <c:v>30</c:v>
                </c:pt>
                <c:pt idx="1">
                  <c:v>15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8-4F0B-B716-8EF837AF7B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768368"/>
        <c:axId val="71786608"/>
      </c:barChart>
      <c:catAx>
        <c:axId val="7176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6608"/>
        <c:crosses val="autoZero"/>
        <c:auto val="1"/>
        <c:lblAlgn val="ctr"/>
        <c:lblOffset val="100"/>
        <c:noMultiLvlLbl val="0"/>
      </c:catAx>
      <c:valAx>
        <c:axId val="71786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Traditional vs Low-Carbon Trip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Dashboard!$J$64:$J$65</c:f>
              <c:strCache>
                <c:ptCount val="2"/>
                <c:pt idx="0">
                  <c:v>Traditional Trip</c:v>
                </c:pt>
                <c:pt idx="1">
                  <c:v>Low-Carbon Trip</c:v>
                </c:pt>
              </c:strCache>
            </c:strRef>
          </c:cat>
          <c:val>
            <c:numRef>
              <c:f>Dashboard!$K$64:$K$65</c:f>
              <c:numCache>
                <c:formatCode>General</c:formatCode>
                <c:ptCount val="2"/>
                <c:pt idx="0">
                  <c:v>318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9B1-829E-1B25FE3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066624"/>
        <c:axId val="62067104"/>
        <c:axId val="0"/>
      </c:bar3DChart>
      <c:catAx>
        <c:axId val="620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7104"/>
        <c:crosses val="autoZero"/>
        <c:auto val="1"/>
        <c:lblAlgn val="ctr"/>
        <c:lblOffset val="100"/>
        <c:noMultiLvlLbl val="0"/>
      </c:catAx>
      <c:valAx>
        <c:axId val="620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title pos="t" align="ctr" overlay="0">
      <cx:tx>
        <cx:txData>
          <cx:v>CO2 Emissions by Tourist Activities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CO2 Emissions by Tourist Activities</a:t>
          </a:r>
        </a:p>
      </cx:txPr>
    </cx:title>
    <cx:plotArea>
      <cx:plotAreaRegion>
        <cx:series layoutId="funnel" uniqueId="{80928E82-980D-49A3-8F1D-4E0EBFB8A729}">
          <cx:tx>
            <cx:txData>
              <cx:f>_xlchart.v2.3</cx:f>
              <cx:v>CO2 per activity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Emission Contribution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Emission Contribution</a:t>
          </a:r>
        </a:p>
      </cx:txPr>
    </cx:title>
    <cx:plotArea>
      <cx:plotAreaRegion>
        <cx:series layoutId="waterfall" uniqueId="{6F87A66D-394B-4171-AA3D-74458C5E09C9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3</xdr:row>
      <xdr:rowOff>0</xdr:rowOff>
    </xdr:from>
    <xdr:to>
      <xdr:col>7</xdr:col>
      <xdr:colOff>609599</xdr:colOff>
      <xdr:row>18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94ABD2-6421-41BC-A4CD-13EAA955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9524</xdr:colOff>
      <xdr:row>2</xdr:row>
      <xdr:rowOff>161924</xdr:rowOff>
    </xdr:from>
    <xdr:to>
      <xdr:col>17</xdr:col>
      <xdr:colOff>0</xdr:colOff>
      <xdr:row>19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586C4C-7F43-4C91-85B2-BB077F3EA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20</xdr:row>
      <xdr:rowOff>180974</xdr:rowOff>
    </xdr:from>
    <xdr:to>
      <xdr:col>7</xdr:col>
      <xdr:colOff>600075</xdr:colOff>
      <xdr:row>38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B298209-7830-449F-AAC2-CE0EF5DAD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20</xdr:row>
      <xdr:rowOff>166686</xdr:rowOff>
    </xdr:from>
    <xdr:to>
      <xdr:col>16</xdr:col>
      <xdr:colOff>581025</xdr:colOff>
      <xdr:row>38</xdr:row>
      <xdr:rowOff>57149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5AAE610-E453-0599-A165-DE872EA87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39</xdr:row>
      <xdr:rowOff>180974</xdr:rowOff>
    </xdr:from>
    <xdr:to>
      <xdr:col>8</xdr:col>
      <xdr:colOff>0</xdr:colOff>
      <xdr:row>57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56A217A5-12FC-4877-836C-0AE8A580F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4" y="7753349"/>
              <a:ext cx="5162551" cy="3429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609599</xdr:colOff>
      <xdr:row>40</xdr:row>
      <xdr:rowOff>19050</xdr:rowOff>
    </xdr:from>
    <xdr:to>
      <xdr:col>16</xdr:col>
      <xdr:colOff>600075</xdr:colOff>
      <xdr:row>58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B41768E0-69A8-4908-8D23-CDB849A21C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4" y="7781925"/>
              <a:ext cx="4867276" cy="341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2029-6FC3-4E67-AA38-AB5789ABC21A}">
  <dimension ref="A1:B7"/>
  <sheetViews>
    <sheetView zoomScale="148" zoomScaleNormal="148" workbookViewId="0">
      <selection activeCell="B9" sqref="B9"/>
    </sheetView>
  </sheetViews>
  <sheetFormatPr defaultRowHeight="15" x14ac:dyDescent="0.25"/>
  <cols>
    <col min="1" max="1" width="19.7109375" customWidth="1"/>
    <col min="2" max="2" width="22.42578125" customWidth="1"/>
  </cols>
  <sheetData>
    <row r="1" spans="1:2" x14ac:dyDescent="0.25">
      <c r="A1" s="3" t="s">
        <v>14</v>
      </c>
      <c r="B1" s="4" t="s">
        <v>15</v>
      </c>
    </row>
    <row r="2" spans="1:2" x14ac:dyDescent="0.25">
      <c r="A2" s="2" t="s">
        <v>16</v>
      </c>
      <c r="B2" s="5">
        <v>1000</v>
      </c>
    </row>
    <row r="3" spans="1:2" x14ac:dyDescent="0.25">
      <c r="A3" s="2" t="s">
        <v>12</v>
      </c>
      <c r="B3" s="5" t="s">
        <v>2</v>
      </c>
    </row>
    <row r="4" spans="1:2" x14ac:dyDescent="0.25">
      <c r="A4" s="2" t="s">
        <v>17</v>
      </c>
      <c r="B4" s="5">
        <v>4</v>
      </c>
    </row>
    <row r="5" spans="1:2" x14ac:dyDescent="0.25">
      <c r="A5" s="2" t="s">
        <v>18</v>
      </c>
      <c r="B5" s="5" t="s">
        <v>5</v>
      </c>
    </row>
    <row r="6" spans="1:2" x14ac:dyDescent="0.25">
      <c r="A6" s="2" t="s">
        <v>19</v>
      </c>
      <c r="B6" s="5">
        <v>3</v>
      </c>
    </row>
    <row r="7" spans="1:2" x14ac:dyDescent="0.25">
      <c r="A7" s="2" t="s">
        <v>20</v>
      </c>
      <c r="B7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73B8-11FC-46FA-8BB3-B3377EF80C2D}">
  <dimension ref="A1:B15"/>
  <sheetViews>
    <sheetView zoomScale="130" zoomScaleNormal="130" workbookViewId="0">
      <selection activeCell="B18" sqref="B18"/>
    </sheetView>
  </sheetViews>
  <sheetFormatPr defaultRowHeight="15" x14ac:dyDescent="0.25"/>
  <cols>
    <col min="1" max="1" width="19.5703125" customWidth="1"/>
    <col min="2" max="2" width="16.85546875" customWidth="1"/>
  </cols>
  <sheetData>
    <row r="1" spans="1:2" x14ac:dyDescent="0.25">
      <c r="A1" s="2" t="s">
        <v>12</v>
      </c>
      <c r="B1" s="2" t="s">
        <v>0</v>
      </c>
    </row>
    <row r="2" spans="1:2" x14ac:dyDescent="0.25">
      <c r="A2" s="2" t="s">
        <v>1</v>
      </c>
      <c r="B2" s="2">
        <v>0.15</v>
      </c>
    </row>
    <row r="3" spans="1:2" x14ac:dyDescent="0.25">
      <c r="A3" s="2" t="s">
        <v>2</v>
      </c>
      <c r="B3" s="2">
        <v>0.18</v>
      </c>
    </row>
    <row r="4" spans="1:2" x14ac:dyDescent="0.25">
      <c r="A4" s="2" t="s">
        <v>3</v>
      </c>
      <c r="B4" s="2">
        <v>0.05</v>
      </c>
    </row>
    <row r="5" spans="1:2" x14ac:dyDescent="0.25">
      <c r="A5" s="2" t="s">
        <v>4</v>
      </c>
      <c r="B5" s="2">
        <v>0.02</v>
      </c>
    </row>
    <row r="7" spans="1:2" ht="18" x14ac:dyDescent="0.35">
      <c r="A7" s="3" t="s">
        <v>13</v>
      </c>
      <c r="B7" s="3" t="s">
        <v>29</v>
      </c>
    </row>
    <row r="8" spans="1:2" x14ac:dyDescent="0.25">
      <c r="A8" s="2" t="s">
        <v>5</v>
      </c>
      <c r="B8" s="2">
        <v>30</v>
      </c>
    </row>
    <row r="9" spans="1:2" x14ac:dyDescent="0.25">
      <c r="A9" s="2" t="s">
        <v>6</v>
      </c>
      <c r="B9" s="2">
        <v>15</v>
      </c>
    </row>
    <row r="10" spans="1:2" x14ac:dyDescent="0.25">
      <c r="A10" s="2" t="s">
        <v>7</v>
      </c>
      <c r="B10" s="2">
        <v>8</v>
      </c>
    </row>
    <row r="12" spans="1:2" ht="18" x14ac:dyDescent="0.35">
      <c r="A12" s="3" t="s">
        <v>8</v>
      </c>
      <c r="B12" s="3" t="s">
        <v>30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10</v>
      </c>
      <c r="B14" s="2">
        <v>3</v>
      </c>
    </row>
    <row r="15" spans="1:2" x14ac:dyDescent="0.25">
      <c r="A15" s="2" t="s">
        <v>9</v>
      </c>
      <c r="B15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EA9D-87B0-475A-9045-92CBFA377DAA}">
  <dimension ref="A1:B5"/>
  <sheetViews>
    <sheetView zoomScale="148" zoomScaleNormal="148" workbookViewId="0">
      <selection activeCell="B9" sqref="B9"/>
    </sheetView>
  </sheetViews>
  <sheetFormatPr defaultRowHeight="15" x14ac:dyDescent="0.25"/>
  <cols>
    <col min="1" max="1" width="16.85546875" customWidth="1"/>
    <col min="2" max="2" width="19.7109375" customWidth="1"/>
  </cols>
  <sheetData>
    <row r="1" spans="1:2" ht="18" x14ac:dyDescent="0.35">
      <c r="A1" s="3" t="s">
        <v>21</v>
      </c>
      <c r="B1" s="3" t="s">
        <v>31</v>
      </c>
    </row>
    <row r="2" spans="1:2" x14ac:dyDescent="0.25">
      <c r="A2" s="2" t="s">
        <v>22</v>
      </c>
      <c r="B2" s="2">
        <f xml:space="preserve"> 'Trip Inputs'!B2 * VLOOKUP('Trip Inputs'!B3,'Emission Factors'!A2:B5,2,FALSE) * 'Trip Inputs'!B7</f>
        <v>180</v>
      </c>
    </row>
    <row r="3" spans="1:2" x14ac:dyDescent="0.25">
      <c r="A3" s="2" t="s">
        <v>23</v>
      </c>
      <c r="B3" s="2">
        <f xml:space="preserve"> 'Trip Inputs'!B4 * VLOOKUP('Trip Inputs'!B5,'Emission Factors'!A8:B10,2,FALSE) * 'Trip Inputs'!B7</f>
        <v>120</v>
      </c>
    </row>
    <row r="4" spans="1:2" x14ac:dyDescent="0.25">
      <c r="A4" s="2" t="s">
        <v>24</v>
      </c>
      <c r="B4" s="2">
        <f xml:space="preserve"> 'Trip Inputs'!B6 * VLOOKUP("Adventure",'Emission Factors'!A13:B15,2,FALSE)</f>
        <v>18</v>
      </c>
    </row>
    <row r="5" spans="1:2" x14ac:dyDescent="0.25">
      <c r="A5" s="2" t="s">
        <v>25</v>
      </c>
      <c r="B5" s="2">
        <f xml:space="preserve"> SUM(B2:B4)</f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E7CD-4E3D-40FC-B9FE-2396A945AAB4}">
  <dimension ref="A1:W71"/>
  <sheetViews>
    <sheetView tabSelected="1" workbookViewId="0">
      <selection activeCell="R6" sqref="R6"/>
    </sheetView>
  </sheetViews>
  <sheetFormatPr defaultRowHeight="15" x14ac:dyDescent="0.25"/>
  <cols>
    <col min="2" max="2" width="16.7109375" customWidth="1"/>
    <col min="3" max="3" width="15.140625" customWidth="1"/>
  </cols>
  <sheetData>
    <row r="1" spans="1:23" ht="31.5" x14ac:dyDescent="0.25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3"/>
      <c r="T1" s="23"/>
      <c r="U1" s="23"/>
      <c r="V1" s="23"/>
      <c r="W1" s="23"/>
    </row>
    <row r="3" spans="1:23" x14ac:dyDescent="0.25">
      <c r="E3" s="1"/>
    </row>
    <row r="61" spans="2:17" ht="15" customHeight="1" x14ac:dyDescent="0.25">
      <c r="B61" s="6" t="s">
        <v>35</v>
      </c>
      <c r="C61" s="7"/>
      <c r="D61" s="7"/>
      <c r="E61" s="7"/>
      <c r="F61" s="7"/>
      <c r="G61" s="8"/>
    </row>
    <row r="62" spans="2:17" x14ac:dyDescent="0.25">
      <c r="B62" s="9"/>
      <c r="C62" s="10"/>
      <c r="D62" s="10"/>
      <c r="E62" s="10"/>
      <c r="F62" s="10"/>
      <c r="G62" s="11"/>
    </row>
    <row r="63" spans="2:17" ht="56.25" x14ac:dyDescent="0.3">
      <c r="B63" s="19" t="s">
        <v>36</v>
      </c>
      <c r="C63" s="20" t="str">
        <f>IF('Trip Inputs'!B3="Flight","Use Train or Bus to reduce CO2 emissions by up to 60%.","Current transport choice is low-carbon.")</f>
        <v>Use Train or Bus to reduce CO2 emissions by up to 60%.</v>
      </c>
      <c r="D63" s="21"/>
      <c r="E63" s="21"/>
      <c r="F63" s="21"/>
      <c r="G63" s="21"/>
      <c r="J63" s="17" t="s">
        <v>26</v>
      </c>
      <c r="K63" s="17" t="s">
        <v>33</v>
      </c>
      <c r="N63" s="12" t="s">
        <v>32</v>
      </c>
      <c r="O63" s="13"/>
      <c r="P63" s="13"/>
      <c r="Q63" s="13"/>
    </row>
    <row r="64" spans="2:17" ht="75" x14ac:dyDescent="0.3">
      <c r="B64" s="19" t="s">
        <v>37</v>
      </c>
      <c r="C64" s="20" t="str">
        <f>IF('Trip Inputs'!B5="Luxury","Choose Eco-stay to reduce hotel emissions significantly.","Accommodation choice is already efficient.")</f>
        <v>Choose Eco-stay to reduce hotel emissions significantly.</v>
      </c>
      <c r="D64" s="21"/>
      <c r="E64" s="21"/>
      <c r="F64" s="21"/>
      <c r="G64" s="21"/>
      <c r="J64" s="18" t="s">
        <v>27</v>
      </c>
      <c r="K64" s="18">
        <f>Calculations!B5</f>
        <v>318</v>
      </c>
      <c r="N64" s="14">
        <f>Calculations!B5</f>
        <v>318</v>
      </c>
      <c r="O64" s="15"/>
      <c r="P64" s="15"/>
      <c r="Q64" s="16"/>
    </row>
    <row r="65" spans="2:11" ht="56.25" x14ac:dyDescent="0.3">
      <c r="B65" s="19" t="s">
        <v>38</v>
      </c>
      <c r="C65" s="20" t="str">
        <f>IF('Trip Inputs'!B6&gt;2,"Reduce high-emission activities and prefer walking tours.","Activity plan is low-impact.")</f>
        <v>Reduce high-emission activities and prefer walking tours.</v>
      </c>
      <c r="D65" s="21"/>
      <c r="E65" s="21"/>
      <c r="F65" s="21"/>
      <c r="G65" s="21"/>
      <c r="J65" s="18" t="s">
        <v>28</v>
      </c>
      <c r="K65" s="18">
        <v>210</v>
      </c>
    </row>
    <row r="67" spans="2:11" x14ac:dyDescent="0.25">
      <c r="B67" s="22" t="s">
        <v>39</v>
      </c>
      <c r="C67" s="22"/>
      <c r="D67" s="22"/>
      <c r="E67" s="22"/>
      <c r="F67" s="22"/>
      <c r="G67" s="22"/>
    </row>
    <row r="68" spans="2:11" x14ac:dyDescent="0.25">
      <c r="B68" s="22"/>
      <c r="C68" s="22"/>
      <c r="D68" s="22"/>
      <c r="E68" s="22"/>
      <c r="F68" s="22"/>
      <c r="G68" s="22"/>
    </row>
    <row r="69" spans="2:11" x14ac:dyDescent="0.25">
      <c r="B69" s="22"/>
      <c r="C69" s="22"/>
      <c r="D69" s="22"/>
      <c r="E69" s="22"/>
      <c r="F69" s="22"/>
      <c r="G69" s="22"/>
    </row>
    <row r="70" spans="2:11" x14ac:dyDescent="0.25">
      <c r="B70" s="22"/>
      <c r="C70" s="22"/>
      <c r="D70" s="22"/>
      <c r="E70" s="22"/>
      <c r="F70" s="22"/>
      <c r="G70" s="22"/>
    </row>
    <row r="71" spans="2:11" x14ac:dyDescent="0.25">
      <c r="B71" s="22"/>
      <c r="C71" s="22"/>
      <c r="D71" s="22"/>
      <c r="E71" s="22"/>
      <c r="F71" s="22"/>
      <c r="G71" s="22"/>
    </row>
  </sheetData>
  <mergeCells count="8">
    <mergeCell ref="B67:G71"/>
    <mergeCell ref="A1:R1"/>
    <mergeCell ref="B61:G62"/>
    <mergeCell ref="C63:G63"/>
    <mergeCell ref="C64:G64"/>
    <mergeCell ref="C65:G65"/>
    <mergeCell ref="N63:Q63"/>
    <mergeCell ref="N64:Q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 Inputs</vt:lpstr>
      <vt:lpstr>Emission Factors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Vanage</dc:creator>
  <cp:lastModifiedBy>Shreyas Vanage</cp:lastModifiedBy>
  <dcterms:created xsi:type="dcterms:W3CDTF">2026-01-02T18:07:29Z</dcterms:created>
  <dcterms:modified xsi:type="dcterms:W3CDTF">2026-01-02T21:11:16Z</dcterms:modified>
</cp:coreProperties>
</file>